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323-PlotThatLines\"/>
    </mc:Choice>
  </mc:AlternateContent>
  <xr:revisionPtr revIDLastSave="0" documentId="13_ncr:1_{1364437D-22C9-486E-8776-87A427005F92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JNLTRAV!$A$1:$D$18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19" i="156" s="1"/>
  <c r="D38" i="156" s="1"/>
  <c r="D57" i="156" s="1"/>
  <c r="D76" i="156" s="1"/>
  <c r="D95" i="156" s="1"/>
  <c r="D114" i="156" s="1"/>
  <c r="D133" i="156" s="1"/>
  <c r="B150" i="156"/>
  <c r="B131" i="156"/>
  <c r="B112" i="156"/>
  <c r="B93" i="156"/>
  <c r="B74" i="156"/>
  <c r="B55" i="156"/>
  <c r="B36" i="156"/>
  <c r="B17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<sst xmlns="http://schemas.openxmlformats.org/spreadsheetml/2006/main" count="207" uniqueCount="52">
  <si>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</si>
  <si>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</si>
  <si>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</si>
  <si>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</si>
  <si>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</si>
  <si>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</si>
  <si>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</si>
  <si>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</si>
  <si>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</si>
  <si>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</si>
  <si>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</si>
  <si>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</si>
  <si>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</si>
  <si>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</si>
  <si>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</si>
  <si>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</si>
  <si>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</si>
  <si>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</si>
  <si>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</si>
  <si>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</si>
  <si>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</si>
  <si>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</si>
  <si>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</si>
  <si>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</si>
  <si>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P_323</t>
  </si>
  <si>
    <t>Quentin Métroz</t>
  </si>
  <si>
    <t>CID3A</t>
  </si>
  <si>
    <t>Vennes</t>
  </si>
  <si>
    <t>Max. 12</t>
  </si>
  <si>
    <t>STOP</t>
  </si>
  <si>
    <t>Explication du prof</t>
  </si>
  <si>
    <t>Chercher une source de donnée</t>
  </si>
  <si>
    <t>Création de l'environment de travail</t>
  </si>
  <si>
    <t>Prendre les données depuis un CSV</t>
  </si>
  <si>
    <t>Documenter à propos de la nouvelle librairie</t>
  </si>
  <si>
    <t>Explication du prof sur le projet et les exigences du projet</t>
  </si>
  <si>
    <t xml:space="preserve">Création du repo GitHub, création du projet Forms </t>
  </si>
  <si>
    <t>Essayer la librairie pour le dessin des graphe</t>
  </si>
  <si>
    <t>Concevoir les tests</t>
  </si>
  <si>
    <t>Interface</t>
  </si>
  <si>
    <t>Remplissage du Journal de travail</t>
  </si>
  <si>
    <t>Filter les données depuis un CSV</t>
  </si>
  <si>
    <t>Coder les tests</t>
  </si>
  <si>
    <t>Dessiner les courbes avec les données</t>
  </si>
  <si>
    <t>Faire les axes et les nommer</t>
  </si>
  <si>
    <t>Commentaire</t>
  </si>
  <si>
    <t>Rapport</t>
  </si>
  <si>
    <t>Finaliser le projet</t>
  </si>
  <si>
    <t>Chercher et télécharger le csv pour commencer le programme</t>
  </si>
  <si>
    <t>Grâce à la classe StreamReader j'ai pu lire le csv et en extraire le contenu</t>
  </si>
  <si>
    <t>Nous avons essayé la librarie ScottPlot et bloquer le déplacement de la grille</t>
  </si>
  <si>
    <t>J'ai rempli le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</si>
</sst>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0" zoomScaleNormal="100" zoomScaleSheetLayoutView="100" workbookViewId="0">
      <selection activeCell="C36" sqref="C3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43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44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45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46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47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DA132-D61B-487B-87DC-5582C8AC4A29}">
  <sheetPr codeName="Feuil5"/>
  <dimension ref="A1:I113"/>
  <sheetViews>
    <sheetView workbookViewId="0">
      <selection activeCell="A9" sqref="A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30</v>
      </c>
      <c r="B3" s="4">
        <v>1</v>
      </c>
      <c r="C3" s="9"/>
      <c r="D3" s="9"/>
    </row>
    <row r="4" spans="1:4" s="53" customFormat="1" ht="40.5" x14ac:dyDescent="0.25">
      <c r="A4" s="1" t="s">
        <v>32</v>
      </c>
      <c r="B4" s="2">
        <v>2</v>
      </c>
      <c r="C4" s="10"/>
      <c r="D4" s="10"/>
    </row>
    <row r="5" spans="1:4" s="53" customFormat="1" ht="27" x14ac:dyDescent="0.25">
      <c r="A5" s="1" t="s">
        <v>31</v>
      </c>
      <c r="B5" s="2">
        <v>2</v>
      </c>
      <c r="C5" s="10"/>
      <c r="D5" s="10"/>
    </row>
    <row r="6" spans="1:4" s="53" customFormat="1" ht="27" x14ac:dyDescent="0.25">
      <c r="A6" s="1" t="s">
        <v>33</v>
      </c>
      <c r="B6" s="2">
        <v>4</v>
      </c>
      <c r="C6" s="10"/>
      <c r="D6" s="10"/>
    </row>
    <row r="7" spans="1:4" s="53" customFormat="1" ht="40.5" x14ac:dyDescent="0.25">
      <c r="A7" s="1" t="s">
        <v>34</v>
      </c>
      <c r="B7" s="2">
        <v>2</v>
      </c>
      <c r="C7" s="10"/>
      <c r="D7" s="10"/>
    </row>
    <row r="8" spans="1:4" s="53" customFormat="1" ht="27" x14ac:dyDescent="0.25">
      <c r="A8" s="1" t="s">
        <v>40</v>
      </c>
      <c r="B8" s="2">
        <v>1</v>
      </c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40.5" x14ac:dyDescent="0.25">
      <c r="A17" s="5" t="s">
        <v>34</v>
      </c>
      <c r="B17" s="4">
        <v>2</v>
      </c>
      <c r="C17" s="9"/>
      <c r="D17" s="9"/>
    </row>
    <row r="18" spans="1:9" ht="40.5" x14ac:dyDescent="0.25">
      <c r="A18" s="1" t="s">
        <v>37</v>
      </c>
      <c r="B18" s="2">
        <v>3</v>
      </c>
      <c r="C18" s="10"/>
      <c r="D18" s="10"/>
    </row>
    <row r="19" spans="1:9" x14ac:dyDescent="0.25">
      <c r="A19" s="1" t="s">
        <v>38</v>
      </c>
      <c r="B19" s="2">
        <v>4</v>
      </c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39</v>
      </c>
      <c r="B20" s="2">
        <v>2</v>
      </c>
      <c r="C20" s="10"/>
      <c r="D20" s="10"/>
      <c r="E20" s="20"/>
      <c r="F20" s="32"/>
      <c r="G20" s="33"/>
      <c r="H20" s="34"/>
      <c r="I20" s="20"/>
    </row>
    <row r="21" spans="1:9" ht="27" x14ac:dyDescent="0.25">
      <c r="A21" s="1" t="s">
        <v>40</v>
      </c>
      <c r="B21" s="2">
        <v>1</v>
      </c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3" t="s">
        <v>39</v>
      </c>
      <c r="B31" s="4">
        <v>5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41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42</v>
      </c>
      <c r="B33" s="2">
        <v>3</v>
      </c>
      <c r="C33" s="10"/>
      <c r="D33" s="10"/>
      <c r="E33" s="20"/>
      <c r="F33" s="20"/>
      <c r="G33" s="20"/>
      <c r="H33" s="20"/>
      <c r="I33" s="20"/>
    </row>
    <row r="34" spans="1:9" ht="27" x14ac:dyDescent="0.25">
      <c r="A34" s="1" t="s">
        <v>40</v>
      </c>
      <c r="B34" s="2">
        <v>1</v>
      </c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43</v>
      </c>
      <c r="B45" s="4">
        <v>4</v>
      </c>
      <c r="C45" s="9"/>
      <c r="D45" s="9"/>
    </row>
    <row r="46" spans="1:9" ht="27" x14ac:dyDescent="0.25">
      <c r="A46" s="1" t="s">
        <v>44</v>
      </c>
      <c r="B46" s="2">
        <v>2</v>
      </c>
      <c r="C46" s="10"/>
      <c r="D46" s="10"/>
    </row>
    <row r="47" spans="1:9" x14ac:dyDescent="0.25">
      <c r="A47" s="1" t="s">
        <v>45</v>
      </c>
      <c r="B47" s="2">
        <v>5</v>
      </c>
      <c r="C47" s="10"/>
      <c r="D47" s="10"/>
    </row>
    <row r="48" spans="1:9" ht="27" x14ac:dyDescent="0.25">
      <c r="A48" s="1" t="s">
        <v>40</v>
      </c>
      <c r="B48" s="2">
        <v>1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46</v>
      </c>
      <c r="B59" s="4">
        <v>4</v>
      </c>
      <c r="C59" s="9"/>
      <c r="D59" s="9"/>
    </row>
    <row r="60" spans="1:4" x14ac:dyDescent="0.25">
      <c r="A60" s="1" t="s">
        <v>47</v>
      </c>
      <c r="B60" s="2">
        <v>7</v>
      </c>
      <c r="C60" s="10"/>
      <c r="D60" s="10"/>
    </row>
    <row r="61" spans="1:4" ht="27" x14ac:dyDescent="0.25">
      <c r="A61" s="1" t="s">
        <v>40</v>
      </c>
      <c r="B61" s="2">
        <v>1</v>
      </c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EB66C4B0-B77C-41F2-8960-FB9E947F3B6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E1635759-7981-4843-830A-E763FA8CCE3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C7EAD96-789F-4F1B-AF80-BA8E50D83828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DC3952E-7A83-4435-A6C3-9650D3A857A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1ADC3-C292-40D4-BF79-F1BE61FC1A09}">
  <sheetPr codeName="Feuil9"/>
  <dimension ref="A1:I152"/>
  <sheetViews>
    <sheetView tabSelected="1"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1</v>
      </c>
      <c r="C3" s="91" t="s">
        <v>35</v>
      </c>
      <c r="D3" s="9"/>
    </row>
    <row r="4" spans="1:4" s="53" customFormat="1" ht="40.5" x14ac:dyDescent="0.25">
      <c r="A4" s="1" t="s">
        <v>32</v>
      </c>
      <c r="B4" s="2">
        <v>2</v>
      </c>
      <c r="C4" s="92" t="s">
        <v>36</v>
      </c>
      <c r="D4" s="10"/>
    </row>
    <row r="5" spans="1:4" s="53" customFormat="1" ht="27" x14ac:dyDescent="0.25">
      <c r="A5" s="1" t="s">
        <v>31</v>
      </c>
      <c r="B5" s="2">
        <v>1</v>
      </c>
      <c r="C5" s="92" t="s">
        <v>48</v>
      </c>
      <c r="D5" s="10"/>
    </row>
    <row r="6" spans="1:4" s="53" customFormat="1" ht="27" x14ac:dyDescent="0.25">
      <c r="A6" s="1" t="s">
        <v>33</v>
      </c>
      <c r="B6" s="2">
        <v>2</v>
      </c>
      <c r="C6" s="92" t="s">
        <v>49</v>
      </c>
      <c r="D6" s="10"/>
    </row>
    <row r="7" spans="1:4" s="53" customFormat="1" ht="40.5" x14ac:dyDescent="0.25">
      <c r="A7" s="1" t="s">
        <v>37</v>
      </c>
      <c r="B7" s="2">
        <v>5</v>
      </c>
      <c r="C7" s="92" t="s">
        <v>50</v>
      </c>
      <c r="D7" s="10"/>
    </row>
    <row r="8" spans="1:4" s="53" customFormat="1" ht="27" x14ac:dyDescent="0.25">
      <c r="A8" s="1" t="s">
        <v>40</v>
      </c>
      <c r="B8" s="2">
        <v>1</v>
      </c>
      <c r="C8" s="92" t="s">
        <v>51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51"/>
      <c r="B14" s="51"/>
      <c r="C14" s="52"/>
      <c r="D14" s="52"/>
    </row>
    <row r="15" spans="1:4" s="53" customFormat="1" x14ac:dyDescent="0.25">
      <c r="A15" s="51"/>
      <c r="B15" s="51"/>
      <c r="C15" s="52"/>
      <c r="D15" s="52"/>
    </row>
    <row r="16" spans="1:4" s="53" customFormat="1" ht="14.25" thickBot="1" x14ac:dyDescent="0.3">
      <c r="A16" s="3"/>
      <c r="B16" s="3"/>
      <c r="C16" s="11"/>
      <c r="D16" s="11"/>
    </row>
    <row r="17" spans="1:9" ht="14.25" thickBot="1" x14ac:dyDescent="0.3">
      <c r="A17" s="48" t="s">
        <v>22</v>
      </c>
      <c r="B17" s="48">
        <f>SUM(B3:B16)</f>
        <v>12</v>
      </c>
      <c r="C17" s="90" t="s">
        <v>28</v>
      </c>
      <c r="D17" s="49"/>
    </row>
    <row r="18" spans="1:9" ht="15" thickBot="1" x14ac:dyDescent="0.35">
      <c r="A18" s="50"/>
      <c r="B18" s="50"/>
      <c r="C18" s="50"/>
      <c r="D18" s="50"/>
    </row>
    <row r="19" spans="1:9" ht="18.75" thickBot="1" x14ac:dyDescent="0.3">
      <c r="A19" s="43" t="s">
        <v>14</v>
      </c>
      <c r="B19" s="44">
        <v>2</v>
      </c>
      <c r="C19" s="45" t="s">
        <v>23</v>
      </c>
      <c r="D19" s="54">
        <f>$D$1+7</f>
        <v>45539</v>
      </c>
    </row>
    <row r="20" spans="1:9" ht="27.75" thickBot="1" x14ac:dyDescent="0.3">
      <c r="A20" s="46" t="s">
        <v>3</v>
      </c>
      <c r="B20" s="47" t="s">
        <v>15</v>
      </c>
      <c r="C20" s="46" t="s">
        <v>7</v>
      </c>
      <c r="D20" s="46" t="s">
        <v>13</v>
      </c>
    </row>
    <row r="21" spans="1:9" x14ac:dyDescent="0.25">
      <c r="A21" s="5"/>
      <c r="B21" s="4"/>
      <c r="C21" s="9"/>
      <c r="D21" s="9"/>
    </row>
    <row r="22" spans="1:9" x14ac:dyDescent="0.25">
      <c r="A22" s="1"/>
      <c r="B22" s="2"/>
      <c r="C22" s="10"/>
      <c r="D22" s="10"/>
    </row>
    <row r="23" spans="1:9" x14ac:dyDescent="0.25">
      <c r="A23" s="1"/>
      <c r="B23" s="2"/>
      <c r="C23" s="10"/>
      <c r="D23" s="10"/>
      <c r="E23" s="20"/>
      <c r="F23" s="20"/>
      <c r="G23" s="20"/>
      <c r="H23" s="20"/>
      <c r="I23" s="20"/>
    </row>
    <row r="24" spans="1:9" ht="12.75" customHeight="1" x14ac:dyDescent="0.25">
      <c r="A24" s="1"/>
      <c r="B24" s="2"/>
      <c r="C24" s="10"/>
      <c r="D24" s="10"/>
      <c r="E24" s="20"/>
      <c r="F24" s="32"/>
      <c r="G24" s="33"/>
      <c r="H24" s="34"/>
      <c r="I24" s="20"/>
    </row>
    <row r="25" spans="1:9" ht="15" x14ac:dyDescent="0.25">
      <c r="A25" s="1"/>
      <c r="B25" s="2"/>
      <c r="C25" s="10"/>
      <c r="D25" s="10"/>
      <c r="E25" s="20"/>
      <c r="F25" s="35"/>
      <c r="G25" s="31"/>
      <c r="H25" s="31"/>
      <c r="I25" s="20"/>
    </row>
    <row r="26" spans="1:9" x14ac:dyDescent="0.25">
      <c r="A26" s="1"/>
      <c r="B26" s="2"/>
      <c r="C26" s="10"/>
      <c r="D26" s="10"/>
      <c r="E26" s="20"/>
      <c r="F26" s="37"/>
      <c r="G26" s="38"/>
      <c r="H26" s="38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2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51"/>
      <c r="B33" s="51"/>
      <c r="C33" s="52"/>
      <c r="D33" s="52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9"/>
      <c r="G34" s="40"/>
      <c r="H34" s="40"/>
      <c r="I34" s="20"/>
    </row>
    <row r="35" spans="1:9" ht="15" thickBot="1" x14ac:dyDescent="0.35">
      <c r="A35" s="3"/>
      <c r="B35" s="3"/>
      <c r="C35" s="11"/>
      <c r="D35" s="11"/>
      <c r="E35" s="20"/>
      <c r="F35" s="41"/>
      <c r="G35" s="41"/>
      <c r="H35" s="41"/>
      <c r="I35" s="20"/>
    </row>
    <row r="36" spans="1:9" ht="14.25" thickBot="1" x14ac:dyDescent="0.3">
      <c r="A36" s="48" t="s">
        <v>22</v>
      </c>
      <c r="B36" s="48">
        <f>SUM(B21:B35)</f>
        <v>0</v>
      </c>
      <c r="C36" s="90" t="s">
        <v>28</v>
      </c>
      <c r="D36" s="49"/>
      <c r="E36" s="20"/>
      <c r="F36" s="20"/>
      <c r="G36" s="20"/>
      <c r="H36" s="20"/>
      <c r="I36" s="20"/>
    </row>
    <row r="37" spans="1:9" ht="15" thickBot="1" x14ac:dyDescent="0.35">
      <c r="A37" s="50"/>
      <c r="B37" s="50"/>
      <c r="C37" s="50"/>
      <c r="D37" s="50"/>
      <c r="E37" s="20"/>
      <c r="F37" s="20"/>
      <c r="G37" s="20"/>
      <c r="H37" s="20"/>
      <c r="I37" s="20"/>
    </row>
    <row r="38" spans="1:9" ht="18.75" thickBot="1" x14ac:dyDescent="0.3">
      <c r="A38" s="43" t="s">
        <v>14</v>
      </c>
      <c r="B38" s="44">
        <v>3</v>
      </c>
      <c r="C38" s="45" t="s">
        <v>23</v>
      </c>
      <c r="D38" s="54">
        <f>$D$19+7</f>
        <v>45546</v>
      </c>
      <c r="E38" s="20"/>
      <c r="F38" s="20"/>
      <c r="G38" s="20"/>
      <c r="H38" s="20"/>
      <c r="I38" s="20"/>
    </row>
    <row r="39" spans="1:9" ht="27.75" thickBot="1" x14ac:dyDescent="0.3">
      <c r="A39" s="46" t="s">
        <v>3</v>
      </c>
      <c r="B39" s="47" t="s">
        <v>15</v>
      </c>
      <c r="C39" s="46" t="s">
        <v>7</v>
      </c>
      <c r="D39" s="46" t="s">
        <v>13</v>
      </c>
    </row>
    <row r="40" spans="1:9" x14ac:dyDescent="0.25">
      <c r="A40" s="5"/>
      <c r="B40" s="4"/>
      <c r="C40" s="9"/>
      <c r="D40" s="9"/>
    </row>
    <row r="41" spans="1:9" x14ac:dyDescent="0.25">
      <c r="A41" s="1"/>
      <c r="B41" s="2"/>
      <c r="C41" s="10"/>
      <c r="D41" s="10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51"/>
      <c r="B52" s="51"/>
      <c r="C52" s="52"/>
      <c r="D52" s="52"/>
    </row>
    <row r="53" spans="1:4" x14ac:dyDescent="0.25">
      <c r="A53" s="51"/>
      <c r="B53" s="51"/>
      <c r="C53" s="52"/>
      <c r="D53" s="52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48" t="s">
        <v>22</v>
      </c>
      <c r="B55" s="48">
        <f>SUM(B40:B54)</f>
        <v>0</v>
      </c>
      <c r="C55" s="90" t="s">
        <v>28</v>
      </c>
      <c r="D55" s="49"/>
    </row>
    <row r="56" spans="1:4" ht="15" thickBot="1" x14ac:dyDescent="0.35">
      <c r="A56" s="50"/>
      <c r="B56" s="50"/>
      <c r="C56" s="50"/>
      <c r="D56" s="50"/>
    </row>
    <row r="57" spans="1:4" ht="18.75" thickBot="1" x14ac:dyDescent="0.3">
      <c r="A57" s="43" t="s">
        <v>14</v>
      </c>
      <c r="B57" s="44">
        <v>4</v>
      </c>
      <c r="C57" s="45" t="s">
        <v>23</v>
      </c>
      <c r="D57" s="54">
        <f>$D$38+7</f>
        <v>45553</v>
      </c>
    </row>
    <row r="58" spans="1:4" ht="27.75" thickBot="1" x14ac:dyDescent="0.3">
      <c r="A58" s="46" t="s">
        <v>3</v>
      </c>
      <c r="B58" s="47" t="s">
        <v>15</v>
      </c>
      <c r="C58" s="46" t="s">
        <v>7</v>
      </c>
      <c r="D58" s="46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51"/>
      <c r="B71" s="51"/>
      <c r="C71" s="52"/>
      <c r="D71" s="52"/>
    </row>
    <row r="72" spans="1:4" x14ac:dyDescent="0.25">
      <c r="A72" s="51"/>
      <c r="B72" s="51"/>
      <c r="C72" s="52"/>
      <c r="D72" s="52"/>
    </row>
    <row r="73" spans="1:4" ht="14.25" thickBot="1" x14ac:dyDescent="0.3">
      <c r="A73" s="3"/>
      <c r="B73" s="3"/>
      <c r="C73" s="11"/>
      <c r="D73" s="11"/>
    </row>
    <row r="74" spans="1:4" ht="14.25" thickBot="1" x14ac:dyDescent="0.3">
      <c r="A74" s="48" t="s">
        <v>22</v>
      </c>
      <c r="B74" s="48">
        <f>SUM(B59:B73)</f>
        <v>0</v>
      </c>
      <c r="C74" s="90" t="s">
        <v>28</v>
      </c>
      <c r="D74" s="49"/>
    </row>
    <row r="75" spans="1:4" ht="15" thickBot="1" x14ac:dyDescent="0.35">
      <c r="A75" s="50"/>
      <c r="B75" s="50"/>
      <c r="C75" s="50"/>
      <c r="D75" s="50"/>
    </row>
    <row r="76" spans="1:4" ht="18.75" thickBot="1" x14ac:dyDescent="0.3">
      <c r="A76" s="43" t="s">
        <v>14</v>
      </c>
      <c r="B76" s="44">
        <v>5</v>
      </c>
      <c r="C76" s="45" t="s">
        <v>23</v>
      </c>
      <c r="D76" s="54">
        <f>$D$57+7</f>
        <v>45560</v>
      </c>
    </row>
    <row r="77" spans="1:4" ht="27.75" thickBot="1" x14ac:dyDescent="0.3">
      <c r="A77" s="46" t="s">
        <v>3</v>
      </c>
      <c r="B77" s="47" t="s">
        <v>15</v>
      </c>
      <c r="C77" s="46" t="s">
        <v>7</v>
      </c>
      <c r="D77" s="46" t="s">
        <v>13</v>
      </c>
    </row>
    <row r="78" spans="1:4" x14ac:dyDescent="0.25">
      <c r="A78" s="5"/>
      <c r="B78" s="4"/>
      <c r="C78" s="9"/>
      <c r="D78" s="9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51"/>
      <c r="B90" s="51"/>
      <c r="C90" s="52"/>
      <c r="D90" s="52"/>
    </row>
    <row r="91" spans="1:4" x14ac:dyDescent="0.25">
      <c r="A91" s="51"/>
      <c r="B91" s="51"/>
      <c r="C91" s="52"/>
      <c r="D91" s="52"/>
    </row>
    <row r="92" spans="1:4" ht="14.25" thickBot="1" x14ac:dyDescent="0.3">
      <c r="A92" s="3"/>
      <c r="B92" s="3"/>
      <c r="C92" s="11"/>
      <c r="D92" s="11"/>
    </row>
    <row r="93" spans="1:4" ht="14.25" thickBot="1" x14ac:dyDescent="0.3">
      <c r="A93" s="48" t="s">
        <v>22</v>
      </c>
      <c r="B93" s="48">
        <f>SUM(B78:B92)</f>
        <v>0</v>
      </c>
      <c r="C93" s="90" t="s">
        <v>28</v>
      </c>
      <c r="D93" s="49"/>
    </row>
    <row r="94" spans="1:4" ht="15" thickBot="1" x14ac:dyDescent="0.35">
      <c r="A94" s="50"/>
      <c r="B94" s="50"/>
      <c r="C94" s="50"/>
      <c r="D94" s="50"/>
    </row>
    <row r="95" spans="1:4" ht="18.75" thickBot="1" x14ac:dyDescent="0.3">
      <c r="A95" s="43" t="s">
        <v>14</v>
      </c>
      <c r="B95" s="44">
        <v>6</v>
      </c>
      <c r="C95" s="45" t="s">
        <v>23</v>
      </c>
      <c r="D95" s="54">
        <f>$D$76+7</f>
        <v>45567</v>
      </c>
    </row>
    <row r="96" spans="1:4" ht="27.75" thickBot="1" x14ac:dyDescent="0.3">
      <c r="A96" s="46" t="s">
        <v>3</v>
      </c>
      <c r="B96" s="47" t="s">
        <v>15</v>
      </c>
      <c r="C96" s="46" t="s">
        <v>7</v>
      </c>
      <c r="D96" s="46" t="s">
        <v>13</v>
      </c>
    </row>
    <row r="97" spans="1:4" x14ac:dyDescent="0.25">
      <c r="A97" s="5"/>
      <c r="B97" s="4"/>
      <c r="C97" s="9"/>
      <c r="D97" s="9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51"/>
      <c r="B109" s="51"/>
      <c r="C109" s="52"/>
      <c r="D109" s="52"/>
    </row>
    <row r="110" spans="1:4" x14ac:dyDescent="0.25">
      <c r="A110" s="51"/>
      <c r="B110" s="51"/>
      <c r="C110" s="52"/>
      <c r="D110" s="52"/>
    </row>
    <row r="111" spans="1:4" ht="14.25" thickBot="1" x14ac:dyDescent="0.3">
      <c r="A111" s="3"/>
      <c r="B111" s="3"/>
      <c r="C111" s="11"/>
      <c r="D111" s="11"/>
    </row>
    <row r="112" spans="1:4" ht="14.25" thickBot="1" x14ac:dyDescent="0.3">
      <c r="A112" s="48" t="s">
        <v>22</v>
      </c>
      <c r="B112" s="48">
        <f>SUM(B97:B111)</f>
        <v>0</v>
      </c>
      <c r="C112" s="90" t="s">
        <v>28</v>
      </c>
      <c r="D112" s="49"/>
    </row>
    <row r="113" spans="1:4" ht="15" thickBot="1" x14ac:dyDescent="0.35">
      <c r="A113" s="50"/>
      <c r="B113" s="50"/>
      <c r="C113" s="50"/>
      <c r="D113" s="50"/>
    </row>
    <row r="114" spans="1:4" ht="18.75" thickBot="1" x14ac:dyDescent="0.3">
      <c r="A114" s="43" t="s">
        <v>14</v>
      </c>
      <c r="B114" s="44">
        <v>7</v>
      </c>
      <c r="C114" s="45" t="s">
        <v>23</v>
      </c>
      <c r="D114" s="54">
        <f>$D$95+7</f>
        <v>45574</v>
      </c>
    </row>
    <row r="115" spans="1:4" ht="27.75" thickBot="1" x14ac:dyDescent="0.3">
      <c r="A115" s="46" t="s">
        <v>3</v>
      </c>
      <c r="B115" s="47" t="s">
        <v>15</v>
      </c>
      <c r="C115" s="46" t="s">
        <v>7</v>
      </c>
      <c r="D115" s="46" t="s">
        <v>13</v>
      </c>
    </row>
    <row r="116" spans="1:4" x14ac:dyDescent="0.25">
      <c r="A116" s="5"/>
      <c r="B116" s="4"/>
      <c r="C116" s="9"/>
      <c r="D116" s="9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51"/>
      <c r="B128" s="51"/>
      <c r="C128" s="52"/>
      <c r="D128" s="52"/>
    </row>
    <row r="129" spans="1:4" x14ac:dyDescent="0.25">
      <c r="A129" s="51"/>
      <c r="B129" s="51"/>
      <c r="C129" s="52"/>
      <c r="D129" s="52"/>
    </row>
    <row r="130" spans="1:4" ht="14.25" thickBot="1" x14ac:dyDescent="0.3">
      <c r="A130" s="3"/>
      <c r="B130" s="3"/>
      <c r="C130" s="11"/>
      <c r="D130" s="11"/>
    </row>
    <row r="131" spans="1:4" ht="14.25" thickBot="1" x14ac:dyDescent="0.3">
      <c r="A131" s="48" t="s">
        <v>22</v>
      </c>
      <c r="B131" s="48">
        <f>SUM(B116:B130)</f>
        <v>0</v>
      </c>
      <c r="C131" s="90" t="s">
        <v>28</v>
      </c>
      <c r="D131" s="49"/>
    </row>
    <row r="132" spans="1:4" ht="15" thickBot="1" x14ac:dyDescent="0.35">
      <c r="A132" s="50"/>
      <c r="B132" s="50"/>
      <c r="C132" s="50"/>
      <c r="D132" s="50"/>
    </row>
    <row r="133" spans="1:4" ht="18.75" thickBot="1" x14ac:dyDescent="0.3">
      <c r="A133" s="43" t="s">
        <v>14</v>
      </c>
      <c r="B133" s="44">
        <v>8</v>
      </c>
      <c r="C133" s="45" t="s">
        <v>23</v>
      </c>
      <c r="D133" s="54">
        <f>$D$114+7</f>
        <v>45581</v>
      </c>
    </row>
    <row r="134" spans="1:4" ht="27.75" thickBot="1" x14ac:dyDescent="0.3">
      <c r="A134" s="46" t="s">
        <v>3</v>
      </c>
      <c r="B134" s="47" t="s">
        <v>15</v>
      </c>
      <c r="C134" s="46" t="s">
        <v>7</v>
      </c>
      <c r="D134" s="46" t="s">
        <v>13</v>
      </c>
    </row>
    <row r="135" spans="1:4" x14ac:dyDescent="0.25">
      <c r="A135" s="5"/>
      <c r="B135" s="4"/>
      <c r="C135" s="9"/>
      <c r="D135" s="9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51"/>
      <c r="B147" s="51"/>
      <c r="C147" s="52"/>
      <c r="D147" s="52"/>
    </row>
    <row r="148" spans="1:4" x14ac:dyDescent="0.25">
      <c r="A148" s="51"/>
      <c r="B148" s="51"/>
      <c r="C148" s="52"/>
      <c r="D148" s="52"/>
    </row>
    <row r="149" spans="1:4" ht="14.25" thickBot="1" x14ac:dyDescent="0.3">
      <c r="A149" s="3"/>
      <c r="B149" s="3"/>
      <c r="C149" s="11"/>
      <c r="D149" s="11"/>
    </row>
    <row r="150" spans="1:4" ht="14.25" thickBot="1" x14ac:dyDescent="0.3">
      <c r="A150" s="48" t="s">
        <v>22</v>
      </c>
      <c r="B150" s="48">
        <f>SUM(B135:B149)</f>
        <v>0</v>
      </c>
      <c r="C150" s="90" t="s">
        <v>28</v>
      </c>
      <c r="D150" s="49"/>
    </row>
    <row r="151" spans="1:4" ht="14.25" x14ac:dyDescent="0.3">
      <c r="A151" s="50"/>
      <c r="B151" s="50"/>
      <c r="C151" s="50"/>
      <c r="D151" s="50"/>
    </row>
    <row r="152" spans="1:4" x14ac:dyDescent="0.25">
      <c r="A152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4" xr:uid="{2A5E1BD2-1906-4244-99A1-C5966C9CB80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6:F33 B21:B35 B40:B54 B59:B73 B78:B92 B97:B111 B116:B130 B135:B149 B3:B16" xr:uid="{C770F141-A30E-4F00-92A4-6CCBE35FC1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7 B36 B55 B74 B93 B112 B131 B150" xr:uid="{085E54FF-99C7-42E8-9EEB-DA782C4FFDF2}">
      <formula1>0</formula1>
      <formula2>NbPerWeek * NbQuartPer</formula2>
    </dataValidation>
    <dataValidation type="list" allowBlank="1" showInputMessage="1" showErrorMessage="1" sqref="A21:A35 A40:A54 A59:A73 A78:A92 A97:A111 A116:A130 A135:A149 A3:A16" xr:uid="{3802AE37-387E-406B-B0EE-AD476FA1EF9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2024-08-28T14:12:13Z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